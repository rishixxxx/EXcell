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esktop\Rishi's folder\"/>
    </mc:Choice>
  </mc:AlternateContent>
  <bookViews>
    <workbookView xWindow="0" yWindow="0" windowWidth="17895" windowHeight="8145" activeTab="3"/>
  </bookViews>
  <sheets>
    <sheet name="Sheet4" sheetId="4" r:id="rId1"/>
    <sheet name="Sheet2" sheetId="5" r:id="rId2"/>
    <sheet name="Sheet5" sheetId="7" r:id="rId3"/>
    <sheet name="Sheet1" sheetId="1" r:id="rId4"/>
  </sheets>
  <definedNames>
    <definedName name="_xlcn.WorksheetConnection_Sheet1H2L101" hidden="1">Sheet1!$H$2:$L$10</definedName>
    <definedName name="Slicer_Name">#N/A</definedName>
    <definedName name="Slicer_Name1">#N/A</definedName>
  </definedNames>
  <calcPr calcId="152511"/>
  <pivotCaches>
    <pivotCache cacheId="0" r:id="rId5"/>
    <pivotCache cacheId="5" r:id="rId6"/>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de037591-3016-4a01-848f-8741c58ba30d" name="Range" connection="WorksheetConnection_Sheet1!$H$2:$L$10"/>
        </x15:modelTables>
      </x15:dataModel>
    </ext>
  </extLst>
</workbook>
</file>

<file path=xl/calcChain.xml><?xml version="1.0" encoding="utf-8"?>
<calcChain xmlns="http://schemas.openxmlformats.org/spreadsheetml/2006/main">
  <c r="X10" i="1" l="1"/>
  <c r="X9" i="1"/>
  <c r="X8" i="1"/>
  <c r="X7" i="1"/>
  <c r="X6" i="1"/>
  <c r="X5" i="1"/>
  <c r="X4" i="1"/>
  <c r="X3" i="1"/>
  <c r="M10" i="1" l="1"/>
  <c r="M9" i="1"/>
  <c r="M8" i="1"/>
  <c r="M7" i="1"/>
  <c r="M6" i="1"/>
  <c r="M5" i="1"/>
  <c r="M4" i="1"/>
  <c r="M3" i="1"/>
  <c r="H3" i="1" l="1"/>
  <c r="H6" i="1"/>
  <c r="W9" i="1"/>
  <c r="W3" i="1"/>
  <c r="W10" i="1"/>
  <c r="W8" i="1"/>
  <c r="W7" i="1"/>
  <c r="W6" i="1"/>
  <c r="W5" i="1"/>
  <c r="W4" i="1"/>
  <c r="V3" i="1"/>
  <c r="V10" i="1"/>
  <c r="V9" i="1"/>
  <c r="V8" i="1"/>
  <c r="V7" i="1"/>
  <c r="V6" i="1"/>
  <c r="V5" i="1"/>
  <c r="V4" i="1"/>
  <c r="U3" i="1"/>
  <c r="U4" i="1" l="1"/>
  <c r="U10" i="1"/>
  <c r="U9" i="1"/>
  <c r="U8" i="1"/>
  <c r="U7" i="1"/>
  <c r="U6" i="1"/>
  <c r="U5" i="1"/>
  <c r="T4" i="1"/>
  <c r="T3" i="1"/>
  <c r="T10" i="1"/>
  <c r="T9" i="1"/>
  <c r="T8" i="1"/>
  <c r="T7" i="1"/>
  <c r="T6" i="1"/>
  <c r="T5" i="1"/>
  <c r="S3" i="1"/>
  <c r="R10" i="1"/>
  <c r="R8" i="1"/>
  <c r="R6" i="1"/>
  <c r="R7" i="1"/>
  <c r="R5" i="1"/>
  <c r="R9" i="1"/>
  <c r="R4" i="1"/>
  <c r="R3" i="1"/>
  <c r="Q10" i="1"/>
  <c r="Q9" i="1"/>
  <c r="Q8" i="1"/>
  <c r="Q7" i="1"/>
  <c r="Q6" i="1"/>
  <c r="Q5" i="1"/>
  <c r="Q4" i="1"/>
  <c r="Q3" i="1"/>
  <c r="O3" i="1"/>
  <c r="P10" i="1"/>
  <c r="P9" i="1"/>
  <c r="P8" i="1"/>
  <c r="P7" i="1"/>
  <c r="P6" i="1"/>
  <c r="P5" i="1"/>
  <c r="P4" i="1"/>
  <c r="P3" i="1"/>
  <c r="N8" i="1"/>
  <c r="N10" i="1"/>
  <c r="N9" i="1"/>
  <c r="O10" i="1"/>
  <c r="O9" i="1"/>
  <c r="O8" i="1"/>
  <c r="O7" i="1"/>
  <c r="O6" i="1"/>
  <c r="O5" i="1"/>
  <c r="O4" i="1"/>
  <c r="N3" i="1"/>
  <c r="H10" i="1"/>
  <c r="S10" i="1" s="1"/>
  <c r="H9" i="1"/>
  <c r="S9" i="1" s="1"/>
  <c r="H8" i="1"/>
  <c r="S8" i="1" s="1"/>
  <c r="H7" i="1"/>
  <c r="S7" i="1" s="1"/>
  <c r="S6" i="1"/>
  <c r="H5" i="1"/>
  <c r="S5" i="1" s="1"/>
  <c r="H4" i="1"/>
  <c r="S4" i="1" s="1"/>
  <c r="B14" i="1"/>
  <c r="B13" i="1"/>
  <c r="B12" i="1"/>
  <c r="N7" i="1"/>
  <c r="N6" i="1"/>
  <c r="N5" i="1"/>
  <c r="N4" i="1"/>
  <c r="Y10" i="1" l="1"/>
  <c r="Y6" i="1"/>
  <c r="Y3" i="1"/>
  <c r="Y7" i="1"/>
  <c r="Y9" i="1"/>
  <c r="Y4" i="1"/>
  <c r="Y8" i="1"/>
  <c r="Y5" i="1"/>
  <c r="Y13" i="1" l="1"/>
  <c r="Y14" i="1"/>
  <c r="Y12"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H$2:$L$10" type="102" refreshedVersion="5" minRefreshableVersion="5">
    <extLst>
      <ext xmlns:x15="http://schemas.microsoft.com/office/spreadsheetml/2010/11/main" uri="{DE250136-89BD-433C-8126-D09CA5730AF9}">
        <x15:connection id="Range-de037591-3016-4a01-848f-8741c58ba30d" autoDelete="1">
          <x15:rangePr sourceName="_xlcn.WorksheetConnection_Sheet1H2L101"/>
        </x15:connection>
      </ext>
    </extLst>
  </connection>
</connections>
</file>

<file path=xl/sharedStrings.xml><?xml version="1.0" encoding="utf-8"?>
<sst xmlns="http://schemas.openxmlformats.org/spreadsheetml/2006/main" count="31" uniqueCount="25">
  <si>
    <t>Hourly Wages</t>
  </si>
  <si>
    <t>Total Amount</t>
  </si>
  <si>
    <t>MAX</t>
  </si>
  <si>
    <t>MIN</t>
  </si>
  <si>
    <t>AVG</t>
  </si>
  <si>
    <t>Bonus Amount</t>
  </si>
  <si>
    <t>Hours Worked</t>
  </si>
  <si>
    <t>Overtime Worked</t>
  </si>
  <si>
    <t>Salary</t>
  </si>
  <si>
    <t>Name</t>
  </si>
  <si>
    <t>RISHI</t>
  </si>
  <si>
    <t>JOHN</t>
  </si>
  <si>
    <t>RAM</t>
  </si>
  <si>
    <t>SAM</t>
  </si>
  <si>
    <t>SID</t>
  </si>
  <si>
    <t>ARSH</t>
  </si>
  <si>
    <t>ANU</t>
  </si>
  <si>
    <t xml:space="preserve">TOTAL </t>
  </si>
  <si>
    <t>Row Labels</t>
  </si>
  <si>
    <t>Grand Total</t>
  </si>
  <si>
    <t>Column Labels</t>
  </si>
  <si>
    <t>Sum of Salary</t>
  </si>
  <si>
    <t>total</t>
  </si>
  <si>
    <t>Sum of total</t>
  </si>
  <si>
    <t>Performance of Employee's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</si>
</sst>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4009]\ * #,##0.00_ ;_ [$₹-4009]\ * \-#,##0.00_ ;_ [$₹-4009]\ * &quot;-&quot;??_ ;_ @_ "/>
  </numFmts>
  <fonts count="2" x14ac:knownFonts="1">
    <font>
      <sz val="11"/>
      <color theme="1"/>
      <name val="Calibri"/>
      <family val="2"/>
      <scheme val="minor"/>
    </font>
    <font>
      <sz val="72"/>
      <color theme="7" tint="-0.249977111117893"/>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3" tint="0.399975585192419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0">
    <xf numFmtId="0" fontId="0" fillId="0" borderId="0" xfId="0"/>
    <xf numFmtId="164" fontId="0" fillId="0" borderId="0" xfId="0" applyNumberFormat="1"/>
    <xf numFmtId="0" fontId="0" fillId="2" borderId="0" xfId="0" applyFont="1" applyFill="1"/>
    <xf numFmtId="17" fontId="0" fillId="2" borderId="0" xfId="0" applyNumberFormat="1" applyFont="1" applyFill="1"/>
    <xf numFmtId="0" fontId="0" fillId="3" borderId="0" xfId="0" applyFill="1"/>
    <xf numFmtId="17" fontId="0" fillId="3" borderId="0" xfId="0" applyNumberFormat="1" applyFill="1"/>
    <xf numFmtId="0" fontId="0" fillId="4" borderId="0" xfId="0" applyFill="1"/>
    <xf numFmtId="17" fontId="0" fillId="4" borderId="0" xfId="0" applyNumberFormat="1" applyFill="1"/>
    <xf numFmtId="164" fontId="0" fillId="4" borderId="0" xfId="0" applyNumberFormat="1" applyFill="1"/>
    <xf numFmtId="0" fontId="0" fillId="5" borderId="0" xfId="0" applyFill="1"/>
    <xf numFmtId="164" fontId="0" fillId="5" borderId="0" xfId="0" applyNumberFormat="1" applyFill="1"/>
    <xf numFmtId="0" fontId="0" fillId="6" borderId="0" xfId="0" applyFill="1"/>
    <xf numFmtId="164" fontId="0" fillId="6" borderId="0" xfId="0" applyNumberFormat="1" applyFill="1"/>
    <xf numFmtId="17" fontId="0" fillId="5" borderId="0" xfId="0" applyNumberFormat="1" applyFill="1"/>
    <xf numFmtId="0" fontId="0" fillId="2" borderId="0" xfId="0" applyNumberFormat="1" applyFont="1" applyFill="1"/>
    <xf numFmtId="0" fontId="0" fillId="0" borderId="0" xfId="0" applyAlignment="1">
      <alignment vertical="top"/>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7" borderId="0" xfId="0" applyFill="1" applyAlignment="1">
      <alignment horizontal="center"/>
    </xf>
    <xf numFmtId="0" fontId="1"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 Dataset.xlsx]Sheet2!PivotTable1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Salaries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Sheet2!$A$4:$A$5</c:f>
              <c:strCache>
                <c:ptCount val="1"/>
                <c:pt idx="0">
                  <c:v>RISHI</c:v>
                </c:pt>
              </c:strCache>
            </c:strRef>
          </c:cat>
          <c:val>
            <c:numRef>
              <c:f>Sheet2!$B$4:$B$5</c:f>
              <c:numCache>
                <c:formatCode>General</c:formatCode>
                <c:ptCount val="1"/>
                <c:pt idx="0">
                  <c:v>22739.5</c:v>
                </c:pt>
              </c:numCache>
            </c:numRef>
          </c:val>
        </c:ser>
        <c:dLbls>
          <c:dLblPos val="ctr"/>
          <c:showLegendKey val="0"/>
          <c:showVal val="1"/>
          <c:showCatName val="0"/>
          <c:showSerName val="0"/>
          <c:showPercent val="0"/>
          <c:showBubbleSize val="0"/>
        </c:dLbls>
        <c:gapWidth val="150"/>
        <c:overlap val="100"/>
        <c:axId val="-574601216"/>
        <c:axId val="-574616448"/>
      </c:barChart>
      <c:catAx>
        <c:axId val="-574601216"/>
        <c:scaling>
          <c:orientation val="minMax"/>
        </c:scaling>
        <c:delete val="1"/>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crossAx val="-574616448"/>
        <c:crosses val="autoZero"/>
        <c:auto val="1"/>
        <c:lblAlgn val="ctr"/>
        <c:lblOffset val="100"/>
        <c:noMultiLvlLbl val="0"/>
      </c:catAx>
      <c:valAx>
        <c:axId val="-574616448"/>
        <c:scaling>
          <c:orientation val="minMax"/>
        </c:scaling>
        <c:delete val="1"/>
        <c:axPos val="l"/>
        <c:numFmt formatCode="General" sourceLinked="1"/>
        <c:majorTickMark val="out"/>
        <c:minorTickMark val="none"/>
        <c:tickLblPos val="nextTo"/>
        <c:crossAx val="-5746012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 Dataset.xlsx]Sheet2!PivotTable3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Worked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Sheet2!$B$24:$B$25</c:f>
              <c:strCache>
                <c:ptCount val="1"/>
                <c:pt idx="0">
                  <c:v>MAX</c:v>
                </c:pt>
              </c:strCache>
            </c:strRef>
          </c:tx>
          <c:spPr>
            <a:solidFill>
              <a:schemeClr val="accent1"/>
            </a:solidFill>
            <a:ln>
              <a:noFill/>
            </a:ln>
            <a:effectLst/>
            <a:sp3d/>
          </c:spPr>
          <c:invertIfNegative val="0"/>
          <c:cat>
            <c:strRef>
              <c:f>Sheet2!$A$26:$A$27</c:f>
              <c:strCache>
                <c:ptCount val="1"/>
                <c:pt idx="0">
                  <c:v>38</c:v>
                </c:pt>
              </c:strCache>
            </c:strRef>
          </c:cat>
          <c:val>
            <c:numRef>
              <c:f>Sheet2!$B$26:$B$27</c:f>
              <c:numCache>
                <c:formatCode>General</c:formatCode>
                <c:ptCount val="1"/>
                <c:pt idx="0">
                  <c:v>1634</c:v>
                </c:pt>
              </c:numCache>
            </c:numRef>
          </c:val>
        </c:ser>
        <c:dLbls>
          <c:showLegendKey val="0"/>
          <c:showVal val="0"/>
          <c:showCatName val="0"/>
          <c:showSerName val="0"/>
          <c:showPercent val="0"/>
          <c:showBubbleSize val="0"/>
        </c:dLbls>
        <c:gapWidth val="150"/>
        <c:shape val="box"/>
        <c:axId val="-574628960"/>
        <c:axId val="-574626784"/>
        <c:axId val="0"/>
      </c:bar3DChart>
      <c:catAx>
        <c:axId val="-57462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26784"/>
        <c:crosses val="autoZero"/>
        <c:auto val="1"/>
        <c:lblAlgn val="ctr"/>
        <c:lblOffset val="100"/>
        <c:noMultiLvlLbl val="0"/>
      </c:catAx>
      <c:valAx>
        <c:axId val="-574626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628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 Dataset.xlsx]Sheet2!PivotTable1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Salaries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Sheet2!$A$4:$A$5</c:f>
              <c:strCache>
                <c:ptCount val="1"/>
                <c:pt idx="0">
                  <c:v>RISHI</c:v>
                </c:pt>
              </c:strCache>
            </c:strRef>
          </c:cat>
          <c:val>
            <c:numRef>
              <c:f>Sheet2!$B$4:$B$5</c:f>
              <c:numCache>
                <c:formatCode>General</c:formatCode>
                <c:ptCount val="1"/>
                <c:pt idx="0">
                  <c:v>22739.5</c:v>
                </c:pt>
              </c:numCache>
            </c:numRef>
          </c:val>
        </c:ser>
        <c:dLbls>
          <c:dLblPos val="ctr"/>
          <c:showLegendKey val="0"/>
          <c:showVal val="1"/>
          <c:showCatName val="0"/>
          <c:showSerName val="0"/>
          <c:showPercent val="0"/>
          <c:showBubbleSize val="0"/>
        </c:dLbls>
        <c:gapWidth val="150"/>
        <c:overlap val="100"/>
        <c:axId val="-574611008"/>
        <c:axId val="-574610464"/>
      </c:barChart>
      <c:catAx>
        <c:axId val="-574611008"/>
        <c:scaling>
          <c:orientation val="minMax"/>
        </c:scaling>
        <c:delete val="1"/>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crossAx val="-574610464"/>
        <c:crosses val="autoZero"/>
        <c:auto val="1"/>
        <c:lblAlgn val="ctr"/>
        <c:lblOffset val="100"/>
        <c:noMultiLvlLbl val="0"/>
      </c:catAx>
      <c:valAx>
        <c:axId val="-574610464"/>
        <c:scaling>
          <c:orientation val="minMax"/>
        </c:scaling>
        <c:delete val="1"/>
        <c:axPos val="l"/>
        <c:numFmt formatCode="General" sourceLinked="1"/>
        <c:majorTickMark val="out"/>
        <c:minorTickMark val="none"/>
        <c:tickLblPos val="nextTo"/>
        <c:crossAx val="-5746110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Employees Dataset.xlsx]Sheet2!PivotTable3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Worked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Sheet2!$B$24:$B$25</c:f>
              <c:strCache>
                <c:ptCount val="1"/>
                <c:pt idx="0">
                  <c:v>MAX</c:v>
                </c:pt>
              </c:strCache>
            </c:strRef>
          </c:tx>
          <c:spPr>
            <a:solidFill>
              <a:schemeClr val="accent1"/>
            </a:solidFill>
            <a:ln>
              <a:noFill/>
            </a:ln>
            <a:effectLst/>
            <a:sp3d/>
          </c:spPr>
          <c:invertIfNegative val="0"/>
          <c:cat>
            <c:strRef>
              <c:f>Sheet2!$A$26:$A$27</c:f>
              <c:strCache>
                <c:ptCount val="1"/>
                <c:pt idx="0">
                  <c:v>38</c:v>
                </c:pt>
              </c:strCache>
            </c:strRef>
          </c:cat>
          <c:val>
            <c:numRef>
              <c:f>Sheet2!$B$26:$B$27</c:f>
              <c:numCache>
                <c:formatCode>General</c:formatCode>
                <c:ptCount val="1"/>
                <c:pt idx="0">
                  <c:v>1634</c:v>
                </c:pt>
              </c:numCache>
            </c:numRef>
          </c:val>
        </c:ser>
        <c:dLbls>
          <c:showLegendKey val="0"/>
          <c:showVal val="0"/>
          <c:showCatName val="0"/>
          <c:showSerName val="0"/>
          <c:showPercent val="0"/>
          <c:showBubbleSize val="0"/>
        </c:dLbls>
        <c:gapWidth val="150"/>
        <c:shape val="box"/>
        <c:axId val="-643204000"/>
        <c:axId val="-643217600"/>
        <c:axId val="0"/>
      </c:bar3DChart>
      <c:catAx>
        <c:axId val="-64320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17600"/>
        <c:crosses val="autoZero"/>
        <c:auto val="1"/>
        <c:lblAlgn val="ctr"/>
        <c:lblOffset val="100"/>
        <c:noMultiLvlLbl val="0"/>
      </c:catAx>
      <c:valAx>
        <c:axId val="-643217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04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252412</xdr:colOff>
      <xdr:row>0</xdr:row>
      <xdr:rowOff>90487</xdr:rowOff>
    </xdr:from>
    <xdr:to>
      <xdr:col>15</xdr:col>
      <xdr:colOff>161925</xdr:colOff>
      <xdr:row>14</xdr:row>
      <xdr:rowOff>166687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328611</xdr:colOff>
      <xdr:row>16</xdr:row>
      <xdr:rowOff>100012</xdr:rowOff>
    </xdr:from>
    <xdr:to>
      <xdr:col>18</xdr:col>
      <xdr:colOff>257174</xdr:colOff>
      <xdr:row>30</xdr:row>
      <xdr:rowOff>176212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5</xdr:row>
      <xdr:rowOff>76199</xdr:rowOff>
    </xdr:from>
    <xdr:to>
      <xdr:col>17</xdr:col>
      <xdr:colOff>9525</xdr:colOff>
      <xdr:row>20</xdr:row>
      <xdr:rowOff>180974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21</xdr:row>
      <xdr:rowOff>104775</xdr:rowOff>
    </xdr:from>
    <xdr:to>
      <xdr:col>16</xdr:col>
      <xdr:colOff>609599</xdr:colOff>
      <xdr:row>36</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57149</xdr:colOff>
      <xdr:row>5</xdr:row>
      <xdr:rowOff>76200</xdr:rowOff>
    </xdr:from>
    <xdr:to>
      <xdr:col>4</xdr:col>
      <xdr:colOff>9524</xdr:colOff>
      <xdr:row>21</xdr:row>
      <xdr:rowOff>38100</xdr:rowOff>
    </xdr:to>
    <mc:AlternateContent xmlns:mc="http://schemas.openxmlformats.org/markup-compatibility/2006">
      <mc:Choice xmlns:a14="http://schemas.microsoft.com/office/drawing/2010/main" Requires="a14">
        <xdr:graphicFrame macro="">
          <xdr:nvGraphicFramePr>
            <xdr:cNvPr id="5"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57149" y="1028700"/>
              <a:ext cx="2390775"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21</xdr:row>
      <xdr:rowOff>114300</xdr:rowOff>
    </xdr:from>
    <xdr:to>
      <xdr:col>3</xdr:col>
      <xdr:colOff>590550</xdr:colOff>
      <xdr:row>36</xdr:row>
      <xdr:rowOff>76200</xdr:rowOff>
    </xdr:to>
    <mc:AlternateContent xmlns:mc="http://schemas.openxmlformats.org/markup-compatibility/2006">
      <mc:Choice xmlns:a14="http://schemas.microsoft.com/office/drawing/2010/main" Requires="a14">
        <xdr:graphicFrame macro="">
          <xdr:nvGraphicFramePr>
            <xdr:cNvPr id="7" name="Name 1"/>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38100" y="4114800"/>
              <a:ext cx="2381250" cy="281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saveData="0" refreshedBy="Admin" refreshedDate="45061.024153124999" backgroundQuery="1" createdVersion="5" refreshedVersion="5" minRefreshableVersion="3" recordCount="0" supportSubquery="1" supportAdvancedDrill="1">
  <cacheSource type="external" connectionId="1"/>
  <cacheFields count="0"/>
  <cacheHierarchies count="7">
    <cacheHierarchy uniqueName="[Range].[Jan-01]" caption="Jan-01" attribute="1" defaultMemberUniqueName="[Range].[Jan-01].[All]" allUniqueName="[Range].[Jan-01].[All]" dimensionUniqueName="[Range]" displayFolder="" count="0" memberValueDatatype="20" unbalanced="0"/>
    <cacheHierarchy uniqueName="[Range].[Jan-07]" caption="Jan-07" attribute="1" defaultMemberUniqueName="[Range].[Jan-07].[All]" allUniqueName="[Range].[Jan-07].[All]" dimensionUniqueName="[Range]" displayFolder="" count="0" memberValueDatatype="20" unbalanced="0"/>
    <cacheHierarchy uniqueName="[Range].[Jan-14]" caption="Jan-14" attribute="1" defaultMemberUniqueName="[Range].[Jan-14].[All]" allUniqueName="[Range].[Jan-14].[All]" dimensionUniqueName="[Range]" displayFolder="" count="0" memberValueDatatype="20" unbalanced="0"/>
    <cacheHierarchy uniqueName="[Range].[Jan-21]" caption="Jan-21" attribute="1" defaultMemberUniqueName="[Range].[Jan-21].[All]" allUniqueName="[Range].[Jan-21].[All]" dimensionUniqueName="[Range]" displayFolder="" count="0" memberValueDatatype="20" unbalanced="0"/>
    <cacheHierarchy uniqueName="[Range].[Jan-28]" caption="Jan-28" attribute="1" defaultMemberUniqueName="[Range].[Jan-28].[All]" allUniqueName="[Range].[Jan-28].[All]" dimensionUniqueName="[Range]" displayFolder="" count="0" memberValueDatatype="20" unbalanced="0"/>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067.858271643519" createdVersion="5" refreshedVersion="5" minRefreshableVersion="3" recordCount="8">
  <cacheSource type="worksheet">
    <worksheetSource ref="A2:Y10" sheet="Sheet1"/>
  </cacheSource>
  <cacheFields count="24">
    <cacheField name="Name" numFmtId="0">
      <sharedItems count="8">
        <s v="RISHI"/>
        <s v="JOHN"/>
        <s v="RAM"/>
        <s v="SAM"/>
        <s v="MAX"/>
        <s v="SID"/>
        <s v="ARSH"/>
        <s v="ANU"/>
      </sharedItems>
    </cacheField>
    <cacheField name="Hourly Wages" numFmtId="164">
      <sharedItems containsSemiMixedTypes="0" containsString="0" containsNumber="1" containsInteger="1" minValue="46" maxValue="89" count="7">
        <n v="89"/>
        <n v="78"/>
        <n v="56"/>
        <n v="85"/>
        <n v="86"/>
        <n v="46"/>
        <n v="54"/>
      </sharedItems>
    </cacheField>
    <cacheField name="Jan-01" numFmtId="0">
      <sharedItems containsSemiMixedTypes="0" containsString="0" containsNumber="1" containsInteger="1" minValue="32" maxValue="54"/>
    </cacheField>
    <cacheField name="Jan-07" numFmtId="0">
      <sharedItems containsSemiMixedTypes="0" containsString="0" containsNumber="1" containsInteger="1" minValue="34" maxValue="76"/>
    </cacheField>
    <cacheField name="Jan-14" numFmtId="0">
      <sharedItems containsSemiMixedTypes="0" containsString="0" containsNumber="1" containsInteger="1" minValue="54" maxValue="78"/>
    </cacheField>
    <cacheField name="Jan-21" numFmtId="0">
      <sharedItems containsSemiMixedTypes="0" containsString="0" containsNumber="1" containsInteger="1" minValue="34" maxValue="76"/>
    </cacheField>
    <cacheField name="Jan-28" numFmtId="0">
      <sharedItems containsSemiMixedTypes="0" containsString="0" containsNumber="1" containsInteger="1" minValue="43" maxValue="65"/>
    </cacheField>
    <cacheField name="Jan-012" numFmtId="0">
      <sharedItems containsSemiMixedTypes="0" containsString="0" containsNumber="1" containsInteger="1" minValue="0" maxValue="14"/>
    </cacheField>
    <cacheField name="Jan-072" numFmtId="0">
      <sharedItems containsSemiMixedTypes="0" containsString="0" containsNumber="1" containsInteger="1" minValue="3" maxValue="7"/>
    </cacheField>
    <cacheField name="Jan-142" numFmtId="0">
      <sharedItems containsSemiMixedTypes="0" containsString="0" containsNumber="1" containsInteger="1" minValue="2" maxValue="6"/>
    </cacheField>
    <cacheField name="Jan-212" numFmtId="0">
      <sharedItems containsSemiMixedTypes="0" containsString="0" containsNumber="1" containsInteger="1" minValue="3" maxValue="8"/>
    </cacheField>
    <cacheField name="Jan-282" numFmtId="0">
      <sharedItems containsSemiMixedTypes="0" containsString="0" containsNumber="1" containsInteger="1" minValue="4" maxValue="9"/>
    </cacheField>
    <cacheField name="TOTAL " numFmtId="0">
      <sharedItems containsSemiMixedTypes="0" containsString="0" containsNumber="1" containsInteger="1" minValue="20" maxValue="38"/>
    </cacheField>
    <cacheField name="Jan-013" numFmtId="164">
      <sharedItems containsSemiMixedTypes="0" containsString="0" containsNumber="1" containsInteger="1" minValue="2408" maxValue="4644"/>
    </cacheField>
    <cacheField name="Jan-073" numFmtId="164">
      <sharedItems containsSemiMixedTypes="0" containsString="0" containsNumber="1" containsInteger="1" minValue="1564" maxValue="5762"/>
    </cacheField>
    <cacheField name="Jan-143" numFmtId="164">
      <sharedItems containsSemiMixedTypes="0" containsString="0" containsNumber="1" containsInteger="1" minValue="2484" maxValue="6942"/>
    </cacheField>
    <cacheField name="Jan-213" numFmtId="164">
      <sharedItems containsSemiMixedTypes="0" containsString="0" containsNumber="1" containsInteger="1" minValue="2408" maxValue="5610"/>
    </cacheField>
    <cacheField name="Jan-283" numFmtId="164">
      <sharedItems containsSemiMixedTypes="0" containsString="0" containsNumber="1" containsInteger="1" minValue="1978" maxValue="5440"/>
    </cacheField>
    <cacheField name="Jan-014" numFmtId="164">
      <sharedItems containsSemiMixedTypes="0" containsString="0" containsNumber="1" minValue="0" maxValue="602"/>
    </cacheField>
    <cacheField name="Jan-074" numFmtId="164">
      <sharedItems containsSemiMixedTypes="0" containsString="0" containsNumber="1" minValue="81" maxValue="301"/>
    </cacheField>
    <cacheField name="Jan-144" numFmtId="164">
      <sharedItems containsSemiMixedTypes="0" containsString="0" containsNumber="1" minValue="84" maxValue="255"/>
    </cacheField>
    <cacheField name="Jan-214" numFmtId="164">
      <sharedItems containsSemiMixedTypes="0" containsString="0" containsNumber="1" containsInteger="1" minValue="84" maxValue="344"/>
    </cacheField>
    <cacheField name="Jan-284" numFmtId="164">
      <sharedItems containsSemiMixedTypes="0" containsString="0" containsNumber="1" minValue="92" maxValue="351"/>
    </cacheField>
    <cacheField name="Salary" numFmtId="164">
      <sharedItems containsSemiMixedTypes="0" containsString="0" containsNumber="1" minValue="12696" maxValue="25284" count="8">
        <n v="22739.5"/>
        <n v="23517"/>
        <n v="13244"/>
        <n v="24225"/>
        <n v="25284"/>
        <n v="12696"/>
        <n v="25202.5"/>
        <n v="19035"/>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5067.865282870371" createdVersion="5" refreshedVersion="5" minRefreshableVersion="3" recordCount="8">
  <cacheSource type="worksheet">
    <worksheetSource ref="A2:X10" sheet="Sheet1"/>
  </cacheSource>
  <cacheFields count="24">
    <cacheField name="Name" numFmtId="0">
      <sharedItems count="8">
        <s v="RISHI"/>
        <s v="JOHN"/>
        <s v="RAM"/>
        <s v="SAM"/>
        <s v="MAX"/>
        <s v="SID"/>
        <s v="ARSH"/>
        <s v="ANU"/>
      </sharedItems>
    </cacheField>
    <cacheField name="Hourly Wages" numFmtId="164">
      <sharedItems containsSemiMixedTypes="0" containsString="0" containsNumber="1" containsInteger="1" minValue="46" maxValue="89"/>
    </cacheField>
    <cacheField name="Jan-01" numFmtId="0">
      <sharedItems containsSemiMixedTypes="0" containsString="0" containsNumber="1" containsInteger="1" minValue="32" maxValue="54"/>
    </cacheField>
    <cacheField name="Jan-07" numFmtId="0">
      <sharedItems containsSemiMixedTypes="0" containsString="0" containsNumber="1" containsInteger="1" minValue="34" maxValue="76"/>
    </cacheField>
    <cacheField name="Jan-14" numFmtId="0">
      <sharedItems containsSemiMixedTypes="0" containsString="0" containsNumber="1" containsInteger="1" minValue="54" maxValue="78"/>
    </cacheField>
    <cacheField name="Jan-21" numFmtId="0">
      <sharedItems containsSemiMixedTypes="0" containsString="0" containsNumber="1" containsInteger="1" minValue="34" maxValue="76"/>
    </cacheField>
    <cacheField name="Jan-28" numFmtId="0">
      <sharedItems containsSemiMixedTypes="0" containsString="0" containsNumber="1" containsInteger="1" minValue="43" maxValue="65"/>
    </cacheField>
    <cacheField name="Jan-012" numFmtId="0">
      <sharedItems containsSemiMixedTypes="0" containsString="0" containsNumber="1" containsInteger="1" minValue="0" maxValue="14"/>
    </cacheField>
    <cacheField name="Jan-072" numFmtId="0">
      <sharedItems containsSemiMixedTypes="0" containsString="0" containsNumber="1" containsInteger="1" minValue="3" maxValue="7"/>
    </cacheField>
    <cacheField name="Jan-142" numFmtId="0">
      <sharedItems containsSemiMixedTypes="0" containsString="0" containsNumber="1" containsInteger="1" minValue="2" maxValue="6"/>
    </cacheField>
    <cacheField name="Jan-212" numFmtId="0">
      <sharedItems containsSemiMixedTypes="0" containsString="0" containsNumber="1" containsInteger="1" minValue="3" maxValue="8"/>
    </cacheField>
    <cacheField name="Jan-282" numFmtId="0">
      <sharedItems containsSemiMixedTypes="0" containsString="0" containsNumber="1" containsInteger="1" minValue="4" maxValue="9"/>
    </cacheField>
    <cacheField name="TOTAL " numFmtId="0">
      <sharedItems containsSemiMixedTypes="0" containsString="0" containsNumber="1" containsInteger="1" minValue="20" maxValue="38" count="7">
        <n v="21"/>
        <n v="37"/>
        <n v="20"/>
        <n v="38"/>
        <n v="34"/>
        <n v="25"/>
        <n v="31"/>
      </sharedItems>
    </cacheField>
    <cacheField name="Jan-013" numFmtId="164">
      <sharedItems containsSemiMixedTypes="0" containsString="0" containsNumber="1" containsInteger="1" minValue="2408" maxValue="4644"/>
    </cacheField>
    <cacheField name="Jan-073" numFmtId="164">
      <sharedItems containsSemiMixedTypes="0" containsString="0" containsNumber="1" containsInteger="1" minValue="1564" maxValue="5762"/>
    </cacheField>
    <cacheField name="Jan-143" numFmtId="164">
      <sharedItems containsSemiMixedTypes="0" containsString="0" containsNumber="1" containsInteger="1" minValue="2484" maxValue="6942"/>
    </cacheField>
    <cacheField name="Jan-213" numFmtId="164">
      <sharedItems containsSemiMixedTypes="0" containsString="0" containsNumber="1" containsInteger="1" minValue="2408" maxValue="5610"/>
    </cacheField>
    <cacheField name="Jan-283" numFmtId="164">
      <sharedItems containsSemiMixedTypes="0" containsString="0" containsNumber="1" containsInteger="1" minValue="1978" maxValue="5440"/>
    </cacheField>
    <cacheField name="Jan-014" numFmtId="164">
      <sharedItems containsSemiMixedTypes="0" containsString="0" containsNumber="1" minValue="0" maxValue="602"/>
    </cacheField>
    <cacheField name="Jan-074" numFmtId="164">
      <sharedItems containsSemiMixedTypes="0" containsString="0" containsNumber="1" minValue="81" maxValue="301"/>
    </cacheField>
    <cacheField name="Jan-144" numFmtId="164">
      <sharedItems containsSemiMixedTypes="0" containsString="0" containsNumber="1" minValue="84" maxValue="255"/>
    </cacheField>
    <cacheField name="Jan-214" numFmtId="164">
      <sharedItems containsSemiMixedTypes="0" containsString="0" containsNumber="1" containsInteger="1" minValue="84" maxValue="344"/>
    </cacheField>
    <cacheField name="Jan-284" numFmtId="164">
      <sharedItems containsSemiMixedTypes="0" containsString="0" containsNumber="1" minValue="92" maxValue="351"/>
    </cacheField>
    <cacheField name="total" numFmtId="164">
      <sharedItems containsSemiMixedTypes="0" containsString="0" containsNumber="1" minValue="588" maxValue="1634" count="8">
        <n v="934.5"/>
        <n v="1443"/>
        <n v="588"/>
        <n v="850"/>
        <n v="1634"/>
        <n v="782"/>
        <n v="1062.5"/>
        <n v="837"/>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8">
  <r>
    <x v="0"/>
    <x v="0"/>
    <n v="43"/>
    <n v="34"/>
    <n v="78"/>
    <n v="34"/>
    <n v="56"/>
    <n v="3"/>
    <n v="4"/>
    <n v="3"/>
    <n v="4"/>
    <n v="7"/>
    <n v="21"/>
    <n v="3827"/>
    <n v="3026"/>
    <n v="6942"/>
    <n v="3026"/>
    <n v="4984"/>
    <n v="133.5"/>
    <n v="178"/>
    <n v="133.5"/>
    <n v="178"/>
    <n v="311.5"/>
    <x v="0"/>
  </r>
  <r>
    <x v="1"/>
    <x v="1"/>
    <n v="54"/>
    <n v="56"/>
    <n v="65"/>
    <n v="54"/>
    <n v="54"/>
    <n v="14"/>
    <n v="4"/>
    <n v="5"/>
    <n v="5"/>
    <n v="9"/>
    <n v="37"/>
    <n v="4212"/>
    <n v="4368"/>
    <n v="5070"/>
    <n v="4212"/>
    <n v="4212"/>
    <n v="546"/>
    <n v="156"/>
    <n v="195"/>
    <n v="195"/>
    <n v="351"/>
    <x v="1"/>
  </r>
  <r>
    <x v="2"/>
    <x v="2"/>
    <n v="43"/>
    <n v="43"/>
    <n v="54"/>
    <n v="43"/>
    <n v="43"/>
    <n v="3"/>
    <n v="5"/>
    <n v="3"/>
    <n v="3"/>
    <n v="7"/>
    <n v="21"/>
    <n v="2408"/>
    <n v="2408"/>
    <n v="3024"/>
    <n v="2408"/>
    <n v="2408"/>
    <n v="84"/>
    <n v="140"/>
    <n v="84"/>
    <n v="84"/>
    <n v="196"/>
    <x v="2"/>
  </r>
  <r>
    <x v="3"/>
    <x v="3"/>
    <n v="32"/>
    <n v="56"/>
    <n v="65"/>
    <n v="66"/>
    <n v="56"/>
    <n v="0"/>
    <n v="6"/>
    <n v="2"/>
    <n v="4"/>
    <n v="8"/>
    <n v="20"/>
    <n v="2720"/>
    <n v="4760"/>
    <n v="5525"/>
    <n v="5610"/>
    <n v="4760"/>
    <n v="0"/>
    <n v="255"/>
    <n v="85"/>
    <n v="170"/>
    <n v="340"/>
    <x v="3"/>
  </r>
  <r>
    <x v="4"/>
    <x v="4"/>
    <n v="54"/>
    <n v="67"/>
    <n v="67"/>
    <n v="44"/>
    <n v="43"/>
    <n v="14"/>
    <n v="7"/>
    <n v="4"/>
    <n v="8"/>
    <n v="5"/>
    <n v="38"/>
    <n v="4644"/>
    <n v="5762"/>
    <n v="5762"/>
    <n v="3784"/>
    <n v="3698"/>
    <n v="602"/>
    <n v="301"/>
    <n v="172"/>
    <n v="344"/>
    <n v="215"/>
    <x v="4"/>
  </r>
  <r>
    <x v="5"/>
    <x v="5"/>
    <n v="53"/>
    <n v="34"/>
    <n v="54"/>
    <n v="75"/>
    <n v="43"/>
    <n v="13"/>
    <n v="5"/>
    <n v="5"/>
    <n v="7"/>
    <n v="4"/>
    <n v="34"/>
    <n v="2438"/>
    <n v="1564"/>
    <n v="2484"/>
    <n v="3450"/>
    <n v="1978"/>
    <n v="299"/>
    <n v="115"/>
    <n v="115"/>
    <n v="161"/>
    <n v="92"/>
    <x v="5"/>
  </r>
  <r>
    <x v="6"/>
    <x v="3"/>
    <n v="42"/>
    <n v="56"/>
    <n v="65"/>
    <n v="57"/>
    <n v="64"/>
    <n v="2"/>
    <n v="3"/>
    <n v="6"/>
    <n v="8"/>
    <n v="6"/>
    <n v="25"/>
    <n v="3570"/>
    <n v="4760"/>
    <n v="5525"/>
    <n v="4845"/>
    <n v="5440"/>
    <n v="85"/>
    <n v="127.5"/>
    <n v="255"/>
    <n v="340"/>
    <n v="255"/>
    <x v="6"/>
  </r>
  <r>
    <x v="7"/>
    <x v="6"/>
    <n v="53"/>
    <n v="76"/>
    <n v="67"/>
    <n v="76"/>
    <n v="65"/>
    <n v="13"/>
    <n v="3"/>
    <n v="4"/>
    <n v="7"/>
    <n v="4"/>
    <n v="31"/>
    <n v="2862"/>
    <n v="4104"/>
    <n v="3618"/>
    <n v="4104"/>
    <n v="3510"/>
    <n v="351"/>
    <n v="81"/>
    <n v="108"/>
    <n v="189"/>
    <n v="108"/>
    <x v="7"/>
  </r>
</pivotCacheRecords>
</file>

<file path=xl/pivotCache/pivotCacheRecords2.xml><?xml version="1.0" encoding="utf-8"?>
<pivotCacheRecords xmlns="http://schemas.openxmlformats.org/spreadsheetml/2006/main" xmlns:r="http://schemas.openxmlformats.org/officeDocument/2006/relationships" count="8">
  <r>
    <x v="0"/>
    <n v="89"/>
    <n v="43"/>
    <n v="34"/>
    <n v="78"/>
    <n v="34"/>
    <n v="56"/>
    <n v="3"/>
    <n v="4"/>
    <n v="3"/>
    <n v="4"/>
    <n v="7"/>
    <x v="0"/>
    <n v="3827"/>
    <n v="3026"/>
    <n v="6942"/>
    <n v="3026"/>
    <n v="4984"/>
    <n v="133.5"/>
    <n v="178"/>
    <n v="133.5"/>
    <n v="178"/>
    <n v="311.5"/>
    <x v="0"/>
  </r>
  <r>
    <x v="1"/>
    <n v="78"/>
    <n v="54"/>
    <n v="56"/>
    <n v="65"/>
    <n v="54"/>
    <n v="54"/>
    <n v="14"/>
    <n v="4"/>
    <n v="5"/>
    <n v="5"/>
    <n v="9"/>
    <x v="1"/>
    <n v="4212"/>
    <n v="4368"/>
    <n v="5070"/>
    <n v="4212"/>
    <n v="4212"/>
    <n v="546"/>
    <n v="156"/>
    <n v="195"/>
    <n v="195"/>
    <n v="351"/>
    <x v="1"/>
  </r>
  <r>
    <x v="2"/>
    <n v="56"/>
    <n v="43"/>
    <n v="43"/>
    <n v="54"/>
    <n v="43"/>
    <n v="43"/>
    <n v="3"/>
    <n v="5"/>
    <n v="3"/>
    <n v="3"/>
    <n v="7"/>
    <x v="0"/>
    <n v="2408"/>
    <n v="2408"/>
    <n v="3024"/>
    <n v="2408"/>
    <n v="2408"/>
    <n v="84"/>
    <n v="140"/>
    <n v="84"/>
    <n v="84"/>
    <n v="196"/>
    <x v="2"/>
  </r>
  <r>
    <x v="3"/>
    <n v="85"/>
    <n v="32"/>
    <n v="56"/>
    <n v="65"/>
    <n v="66"/>
    <n v="56"/>
    <n v="0"/>
    <n v="6"/>
    <n v="2"/>
    <n v="4"/>
    <n v="8"/>
    <x v="2"/>
    <n v="2720"/>
    <n v="4760"/>
    <n v="5525"/>
    <n v="5610"/>
    <n v="4760"/>
    <n v="0"/>
    <n v="255"/>
    <n v="85"/>
    <n v="170"/>
    <n v="340"/>
    <x v="3"/>
  </r>
  <r>
    <x v="4"/>
    <n v="86"/>
    <n v="54"/>
    <n v="67"/>
    <n v="67"/>
    <n v="44"/>
    <n v="43"/>
    <n v="14"/>
    <n v="7"/>
    <n v="4"/>
    <n v="8"/>
    <n v="5"/>
    <x v="3"/>
    <n v="4644"/>
    <n v="5762"/>
    <n v="5762"/>
    <n v="3784"/>
    <n v="3698"/>
    <n v="602"/>
    <n v="301"/>
    <n v="172"/>
    <n v="344"/>
    <n v="215"/>
    <x v="4"/>
  </r>
  <r>
    <x v="5"/>
    <n v="46"/>
    <n v="53"/>
    <n v="34"/>
    <n v="54"/>
    <n v="75"/>
    <n v="43"/>
    <n v="13"/>
    <n v="5"/>
    <n v="5"/>
    <n v="7"/>
    <n v="4"/>
    <x v="4"/>
    <n v="2438"/>
    <n v="1564"/>
    <n v="2484"/>
    <n v="3450"/>
    <n v="1978"/>
    <n v="299"/>
    <n v="115"/>
    <n v="115"/>
    <n v="161"/>
    <n v="92"/>
    <x v="5"/>
  </r>
  <r>
    <x v="6"/>
    <n v="85"/>
    <n v="42"/>
    <n v="56"/>
    <n v="65"/>
    <n v="57"/>
    <n v="64"/>
    <n v="2"/>
    <n v="3"/>
    <n v="6"/>
    <n v="8"/>
    <n v="6"/>
    <x v="5"/>
    <n v="3570"/>
    <n v="4760"/>
    <n v="5525"/>
    <n v="4845"/>
    <n v="5440"/>
    <n v="85"/>
    <n v="127.5"/>
    <n v="255"/>
    <n v="340"/>
    <n v="255"/>
    <x v="6"/>
  </r>
  <r>
    <x v="7"/>
    <n v="54"/>
    <n v="53"/>
    <n v="76"/>
    <n v="67"/>
    <n v="76"/>
    <n v="65"/>
    <n v="13"/>
    <n v="3"/>
    <n v="4"/>
    <n v="7"/>
    <n v="4"/>
    <x v="6"/>
    <n v="2862"/>
    <n v="4104"/>
    <n v="3618"/>
    <n v="4104"/>
    <n v="3510"/>
    <n v="351"/>
    <n v="81"/>
    <n v="108"/>
    <n v="189"/>
    <n v="10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Hierarchies count="7">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H$2:$L$10">
        <x15:activeTabTopLevelEntity name="[Range]"/>
      </x15:pivotTableUISettings>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24:C27" firstHeaderRow="1" firstDataRow="2" firstDataCol="1"/>
  <pivotFields count="24">
    <pivotField axis="axisCol" showAll="0">
      <items count="9">
        <item h="1" x="7"/>
        <item h="1" x="6"/>
        <item h="1" x="1"/>
        <item x="4"/>
        <item h="1" x="2"/>
        <item h="1" x="0"/>
        <item h="1" x="3"/>
        <item h="1" x="5"/>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items count="8">
        <item x="2"/>
        <item x="0"/>
        <item x="5"/>
        <item x="6"/>
        <item x="4"/>
        <item x="1"/>
        <item x="3"/>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items count="9">
        <item x="2"/>
        <item x="5"/>
        <item x="7"/>
        <item x="3"/>
        <item x="0"/>
        <item x="6"/>
        <item x="1"/>
        <item x="4"/>
        <item t="default"/>
      </items>
    </pivotField>
  </pivotFields>
  <rowFields count="1">
    <field x="12"/>
  </rowFields>
  <rowItems count="2">
    <i>
      <x v="6"/>
    </i>
    <i t="grand">
      <x/>
    </i>
  </rowItems>
  <colFields count="1">
    <field x="0"/>
  </colFields>
  <colItems count="2">
    <i>
      <x v="3"/>
    </i>
    <i t="grand">
      <x/>
    </i>
  </colItems>
  <dataFields count="1">
    <dataField name="Sum of total" fld="23" baseField="0" baseItem="0"/>
  </dataFields>
  <chartFormats count="1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2"/>
          </reference>
        </references>
      </pivotArea>
    </chartFormat>
    <chartFormat chart="12" format="3"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4"/>
          </reference>
        </references>
      </pivotArea>
    </chartFormat>
    <chartFormat chart="12" format="5" series="1">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2">
          <reference field="4294967294" count="1" selected="0">
            <x v="0"/>
          </reference>
          <reference field="0" count="1" selected="0">
            <x v="6"/>
          </reference>
        </references>
      </pivotArea>
    </chartFormat>
    <chartFormat chart="12" format="7" series="1">
      <pivotArea type="data" outline="0" fieldPosition="0">
        <references count="2">
          <reference field="4294967294" count="1" selected="0">
            <x v="0"/>
          </reference>
          <reference field="0" count="1" selected="0">
            <x v="7"/>
          </reference>
        </references>
      </pivotArea>
    </chartFormat>
    <chartFormat chart="15" format="16" series="1">
      <pivotArea type="data" outline="0" fieldPosition="0">
        <references count="2">
          <reference field="4294967294" count="1" selected="0">
            <x v="0"/>
          </reference>
          <reference field="0" count="1" selected="0">
            <x v="0"/>
          </reference>
        </references>
      </pivotArea>
    </chartFormat>
    <chartFormat chart="15" format="17" series="1">
      <pivotArea type="data" outline="0" fieldPosition="0">
        <references count="2">
          <reference field="4294967294" count="1" selected="0">
            <x v="0"/>
          </reference>
          <reference field="0" count="1" selected="0">
            <x v="1"/>
          </reference>
        </references>
      </pivotArea>
    </chartFormat>
    <chartFormat chart="15" format="18" series="1">
      <pivotArea type="data" outline="0" fieldPosition="0">
        <references count="2">
          <reference field="4294967294" count="1" selected="0">
            <x v="0"/>
          </reference>
          <reference field="0" count="1" selected="0">
            <x v="2"/>
          </reference>
        </references>
      </pivotArea>
    </chartFormat>
    <chartFormat chart="15" format="19" series="1">
      <pivotArea type="data" outline="0" fieldPosition="0">
        <references count="2">
          <reference field="4294967294" count="1" selected="0">
            <x v="0"/>
          </reference>
          <reference field="0" count="1" selected="0">
            <x v="3"/>
          </reference>
        </references>
      </pivotArea>
    </chartFormat>
    <chartFormat chart="15" format="20" series="1">
      <pivotArea type="data" outline="0" fieldPosition="0">
        <references count="2">
          <reference field="4294967294" count="1" selected="0">
            <x v="0"/>
          </reference>
          <reference field="0" count="1" selected="0">
            <x v="4"/>
          </reference>
        </references>
      </pivotArea>
    </chartFormat>
    <chartFormat chart="15" format="21" series="1">
      <pivotArea type="data" outline="0" fieldPosition="0">
        <references count="2">
          <reference field="4294967294" count="1" selected="0">
            <x v="0"/>
          </reference>
          <reference field="0" count="1" selected="0">
            <x v="5"/>
          </reference>
        </references>
      </pivotArea>
    </chartFormat>
    <chartFormat chart="15" format="22" series="1">
      <pivotArea type="data" outline="0" fieldPosition="0">
        <references count="2">
          <reference field="4294967294" count="1" selected="0">
            <x v="0"/>
          </reference>
          <reference field="0" count="1" selected="0">
            <x v="6"/>
          </reference>
        </references>
      </pivotArea>
    </chartFormat>
    <chartFormat chart="15" format="23" series="1">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5" firstHeaderRow="1" firstDataRow="1" firstDataCol="1"/>
  <pivotFields count="24">
    <pivotField axis="axisRow" showAll="0">
      <items count="9">
        <item h="1" x="7"/>
        <item h="1" x="6"/>
        <item h="1" x="1"/>
        <item h="1" x="4"/>
        <item h="1" x="2"/>
        <item x="0"/>
        <item h="1" x="3"/>
        <item h="1" x="5"/>
        <item t="default"/>
      </items>
    </pivotField>
    <pivotField numFmtId="164" showAll="0">
      <items count="8">
        <item x="5"/>
        <item x="6"/>
        <item x="2"/>
        <item x="1"/>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items count="9">
        <item x="5"/>
        <item x="2"/>
        <item x="7"/>
        <item x="0"/>
        <item x="1"/>
        <item x="3"/>
        <item x="6"/>
        <item x="4"/>
        <item t="default"/>
      </items>
    </pivotField>
  </pivotFields>
  <rowFields count="1">
    <field x="0"/>
  </rowFields>
  <rowItems count="2">
    <i>
      <x v="5"/>
    </i>
    <i t="grand">
      <x/>
    </i>
  </rowItems>
  <colItems count="1">
    <i/>
  </colItems>
  <dataFields count="1">
    <dataField name="Sum of Salary" fld="2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5" name="PivotTable1"/>
  </pivotTables>
  <data>
    <tabular pivotCacheId="1">
      <items count="8">
        <i x="7"/>
        <i x="6"/>
        <i x="1"/>
        <i x="4"/>
        <i x="2"/>
        <i x="0" s="1"/>
        <i x="3"/>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ame1" sourceName="Name">
  <pivotTables>
    <pivotTable tabId="5" name="PivotTable3"/>
  </pivotTables>
  <data>
    <tabular pivotCacheId="2">
      <items count="8">
        <i x="7"/>
        <i x="6"/>
        <i x="1"/>
        <i x="4" s="1"/>
        <i x="2"/>
        <i x="0"/>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rowHeight="241300"/>
  <slicer name="Name 1" cache="Slicer_Name1" caption="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16"/>
      <c r="B3" s="17"/>
      <c r="C3" s="18"/>
    </row>
    <row r="4" spans="1:3" x14ac:dyDescent="0.25">
      <c r="A4" s="19"/>
      <c r="B4" s="20"/>
      <c r="C4" s="21"/>
    </row>
    <row r="5" spans="1:3" x14ac:dyDescent="0.25">
      <c r="A5" s="19"/>
      <c r="B5" s="20"/>
      <c r="C5" s="21"/>
    </row>
    <row r="6" spans="1:3" x14ac:dyDescent="0.25">
      <c r="A6" s="19"/>
      <c r="B6" s="20"/>
      <c r="C6" s="21"/>
    </row>
    <row r="7" spans="1:3" x14ac:dyDescent="0.25">
      <c r="A7" s="19"/>
      <c r="B7" s="20"/>
      <c r="C7" s="21"/>
    </row>
    <row r="8" spans="1:3" x14ac:dyDescent="0.25">
      <c r="A8" s="19"/>
      <c r="B8" s="20"/>
      <c r="C8" s="21"/>
    </row>
    <row r="9" spans="1:3" x14ac:dyDescent="0.25">
      <c r="A9" s="19"/>
      <c r="B9" s="20"/>
      <c r="C9" s="21"/>
    </row>
    <row r="10" spans="1:3" x14ac:dyDescent="0.25">
      <c r="A10" s="19"/>
      <c r="B10" s="20"/>
      <c r="C10" s="21"/>
    </row>
    <row r="11" spans="1:3" x14ac:dyDescent="0.25">
      <c r="A11" s="19"/>
      <c r="B11" s="20"/>
      <c r="C11" s="21"/>
    </row>
    <row r="12" spans="1:3" x14ac:dyDescent="0.25">
      <c r="A12" s="19"/>
      <c r="B12" s="20"/>
      <c r="C12" s="21"/>
    </row>
    <row r="13" spans="1:3" x14ac:dyDescent="0.25">
      <c r="A13" s="19"/>
      <c r="B13" s="20"/>
      <c r="C13" s="21"/>
    </row>
    <row r="14" spans="1:3" x14ac:dyDescent="0.25">
      <c r="A14" s="19"/>
      <c r="B14" s="20"/>
      <c r="C14" s="21"/>
    </row>
    <row r="15" spans="1:3" x14ac:dyDescent="0.25">
      <c r="A15" s="19"/>
      <c r="B15" s="20"/>
      <c r="C15" s="21"/>
    </row>
    <row r="16" spans="1:3" x14ac:dyDescent="0.25">
      <c r="A16" s="19"/>
      <c r="B16" s="20"/>
      <c r="C16" s="21"/>
    </row>
    <row r="17" spans="1:3" x14ac:dyDescent="0.25">
      <c r="A17" s="19"/>
      <c r="B17" s="20"/>
      <c r="C17" s="21"/>
    </row>
    <row r="18" spans="1:3" x14ac:dyDescent="0.25">
      <c r="A18" s="19"/>
      <c r="B18" s="20"/>
      <c r="C18" s="21"/>
    </row>
    <row r="19" spans="1:3" x14ac:dyDescent="0.25">
      <c r="A19" s="19"/>
      <c r="B19" s="20"/>
      <c r="C19" s="21"/>
    </row>
    <row r="20" spans="1:3" x14ac:dyDescent="0.25">
      <c r="A20" s="22"/>
      <c r="B20" s="23"/>
      <c r="C20"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7"/>
  <sheetViews>
    <sheetView workbookViewId="0">
      <selection activeCell="D24" sqref="D24"/>
    </sheetView>
  </sheetViews>
  <sheetFormatPr defaultRowHeight="15" x14ac:dyDescent="0.25"/>
  <cols>
    <col min="1" max="1" width="13.140625" customWidth="1"/>
    <col min="2" max="2" width="16.28515625" customWidth="1"/>
    <col min="3" max="3" width="11.28515625" customWidth="1"/>
    <col min="4" max="4" width="5.85546875" customWidth="1"/>
    <col min="5" max="6" width="5.28515625" customWidth="1"/>
    <col min="7" max="7" width="6" customWidth="1"/>
    <col min="8" max="8" width="5.140625" customWidth="1"/>
    <col min="9" max="9" width="4" customWidth="1"/>
    <col min="10" max="10" width="11.28515625" customWidth="1"/>
  </cols>
  <sheetData>
    <row r="3" spans="1:2" x14ac:dyDescent="0.25">
      <c r="A3" s="25" t="s">
        <v>18</v>
      </c>
      <c r="B3" t="s">
        <v>21</v>
      </c>
    </row>
    <row r="4" spans="1:2" x14ac:dyDescent="0.25">
      <c r="A4" s="26" t="s">
        <v>10</v>
      </c>
      <c r="B4" s="27">
        <v>22739.5</v>
      </c>
    </row>
    <row r="5" spans="1:2" x14ac:dyDescent="0.25">
      <c r="A5" s="26" t="s">
        <v>19</v>
      </c>
      <c r="B5" s="27">
        <v>22739.5</v>
      </c>
    </row>
    <row r="24" spans="1:3" x14ac:dyDescent="0.25">
      <c r="A24" s="25" t="s">
        <v>23</v>
      </c>
      <c r="B24" s="25" t="s">
        <v>20</v>
      </c>
    </row>
    <row r="25" spans="1:3" x14ac:dyDescent="0.25">
      <c r="A25" s="25" t="s">
        <v>18</v>
      </c>
      <c r="B25" t="s">
        <v>2</v>
      </c>
      <c r="C25" t="s">
        <v>19</v>
      </c>
    </row>
    <row r="26" spans="1:3" x14ac:dyDescent="0.25">
      <c r="A26" s="26">
        <v>38</v>
      </c>
      <c r="B26" s="27">
        <v>1634</v>
      </c>
      <c r="C26" s="27">
        <v>1634</v>
      </c>
    </row>
    <row r="27" spans="1:3" x14ac:dyDescent="0.25">
      <c r="A27" s="26" t="s">
        <v>19</v>
      </c>
      <c r="B27" s="27">
        <v>1634</v>
      </c>
      <c r="C27" s="27">
        <v>1634</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showGridLines="0" workbookViewId="0">
      <selection activeCell="V15" sqref="V15"/>
    </sheetView>
  </sheetViews>
  <sheetFormatPr defaultRowHeight="15" x14ac:dyDescent="0.25"/>
  <sheetData>
    <row r="1" spans="1:17" x14ac:dyDescent="0.25">
      <c r="A1" s="29" t="s">
        <v>24</v>
      </c>
      <c r="B1" s="28"/>
      <c r="C1" s="28"/>
      <c r="D1" s="28"/>
      <c r="E1" s="28"/>
      <c r="F1" s="28"/>
      <c r="G1" s="28"/>
      <c r="H1" s="28"/>
      <c r="I1" s="28"/>
      <c r="J1" s="28"/>
      <c r="K1" s="28"/>
      <c r="L1" s="28"/>
      <c r="M1" s="28"/>
      <c r="N1" s="28"/>
      <c r="O1" s="28"/>
      <c r="P1" s="28"/>
      <c r="Q1" s="28"/>
    </row>
    <row r="2" spans="1:17" x14ac:dyDescent="0.25">
      <c r="A2" s="28"/>
      <c r="B2" s="28"/>
      <c r="C2" s="28"/>
      <c r="D2" s="28"/>
      <c r="E2" s="28"/>
      <c r="F2" s="28"/>
      <c r="G2" s="28"/>
      <c r="H2" s="28"/>
      <c r="I2" s="28"/>
      <c r="J2" s="28"/>
      <c r="K2" s="28"/>
      <c r="L2" s="28"/>
      <c r="M2" s="28"/>
      <c r="N2" s="28"/>
      <c r="O2" s="28"/>
      <c r="P2" s="28"/>
      <c r="Q2" s="28"/>
    </row>
    <row r="3" spans="1:17" x14ac:dyDescent="0.25">
      <c r="A3" s="28"/>
      <c r="B3" s="28"/>
      <c r="C3" s="28"/>
      <c r="D3" s="28"/>
      <c r="E3" s="28"/>
      <c r="F3" s="28"/>
      <c r="G3" s="28"/>
      <c r="H3" s="28"/>
      <c r="I3" s="28"/>
      <c r="J3" s="28"/>
      <c r="K3" s="28"/>
      <c r="L3" s="28"/>
      <c r="M3" s="28"/>
      <c r="N3" s="28"/>
      <c r="O3" s="28"/>
      <c r="P3" s="28"/>
      <c r="Q3" s="28"/>
    </row>
    <row r="4" spans="1:17" x14ac:dyDescent="0.25">
      <c r="A4" s="28"/>
      <c r="B4" s="28"/>
      <c r="C4" s="28"/>
      <c r="D4" s="28"/>
      <c r="E4" s="28"/>
      <c r="F4" s="28"/>
      <c r="G4" s="28"/>
      <c r="H4" s="28"/>
      <c r="I4" s="28"/>
      <c r="J4" s="28"/>
      <c r="K4" s="28"/>
      <c r="L4" s="28"/>
      <c r="M4" s="28"/>
      <c r="N4" s="28"/>
      <c r="O4" s="28"/>
      <c r="P4" s="28"/>
      <c r="Q4" s="28"/>
    </row>
    <row r="5" spans="1:17" x14ac:dyDescent="0.25">
      <c r="A5" s="28"/>
      <c r="B5" s="28"/>
      <c r="C5" s="28"/>
      <c r="D5" s="28"/>
      <c r="E5" s="28"/>
      <c r="F5" s="28"/>
      <c r="G5" s="28"/>
      <c r="H5" s="28"/>
      <c r="I5" s="28"/>
      <c r="J5" s="28"/>
      <c r="K5" s="28"/>
      <c r="L5" s="28"/>
      <c r="M5" s="28"/>
      <c r="N5" s="28"/>
      <c r="O5" s="28"/>
      <c r="P5" s="28"/>
      <c r="Q5" s="28"/>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
  <sheetViews>
    <sheetView tabSelected="1" workbookViewId="0">
      <selection activeCell="Q12" sqref="Q12"/>
    </sheetView>
  </sheetViews>
  <sheetFormatPr defaultRowHeight="15" x14ac:dyDescent="0.25"/>
  <cols>
    <col min="2" max="2" width="13" customWidth="1"/>
    <col min="3" max="3" width="7.42578125" customWidth="1"/>
    <col min="4" max="4" width="7.140625" customWidth="1"/>
    <col min="5" max="5" width="8.140625" customWidth="1"/>
    <col min="6" max="6" width="7.28515625" customWidth="1"/>
    <col min="7" max="7" width="6.28515625" customWidth="1"/>
    <col min="8" max="8" width="6.85546875" customWidth="1"/>
    <col min="9" max="9" width="13.140625" customWidth="1"/>
    <col min="10" max="10" width="6.5703125" customWidth="1"/>
    <col min="11" max="13" width="6.7109375" customWidth="1"/>
    <col min="14" max="14" width="10.28515625" customWidth="1"/>
    <col min="15" max="15" width="10.5703125" customWidth="1"/>
    <col min="16" max="17" width="11.42578125" customWidth="1"/>
    <col min="18" max="18" width="11.7109375" customWidth="1"/>
    <col min="19" max="19" width="9.28515625" customWidth="1"/>
    <col min="20" max="20" width="10" customWidth="1"/>
    <col min="21" max="21" width="10.28515625" customWidth="1"/>
    <col min="22" max="22" width="9.7109375" customWidth="1"/>
    <col min="23" max="23" width="10.140625" customWidth="1"/>
    <col min="24" max="24" width="11" customWidth="1"/>
    <col min="25" max="25" width="12.140625" customWidth="1"/>
    <col min="26" max="26" width="11.5703125" customWidth="1"/>
    <col min="27" max="28" width="14" customWidth="1"/>
    <col min="29" max="29" width="10.85546875" customWidth="1"/>
  </cols>
  <sheetData>
    <row r="1" spans="1:26" x14ac:dyDescent="0.25">
      <c r="C1" s="2" t="s">
        <v>6</v>
      </c>
      <c r="D1" s="2"/>
      <c r="E1" s="2"/>
      <c r="F1" s="2"/>
      <c r="G1" s="2"/>
      <c r="H1" s="4" t="s">
        <v>7</v>
      </c>
      <c r="I1" s="4"/>
      <c r="J1" s="4"/>
      <c r="K1" s="4"/>
      <c r="L1" s="4"/>
      <c r="M1" s="4"/>
      <c r="N1" s="6" t="s">
        <v>1</v>
      </c>
      <c r="O1" s="6"/>
      <c r="P1" s="6"/>
      <c r="Q1" s="6"/>
      <c r="R1" s="6"/>
      <c r="S1" s="9" t="s">
        <v>5</v>
      </c>
      <c r="T1" s="9"/>
      <c r="U1" s="9"/>
      <c r="V1" s="9"/>
      <c r="W1" s="9"/>
      <c r="X1" s="9"/>
      <c r="Y1" s="11"/>
    </row>
    <row r="2" spans="1:26" x14ac:dyDescent="0.25">
      <c r="A2" t="s">
        <v>9</v>
      </c>
      <c r="B2" t="s">
        <v>0</v>
      </c>
      <c r="C2" s="3">
        <v>36892</v>
      </c>
      <c r="D2" s="3">
        <v>39083</v>
      </c>
      <c r="E2" s="3">
        <v>41640</v>
      </c>
      <c r="F2" s="3">
        <v>44197</v>
      </c>
      <c r="G2" s="3">
        <v>46753</v>
      </c>
      <c r="H2" s="5">
        <v>36892</v>
      </c>
      <c r="I2" s="5">
        <v>39083</v>
      </c>
      <c r="J2" s="5">
        <v>41640</v>
      </c>
      <c r="K2" s="5">
        <v>44197</v>
      </c>
      <c r="L2" s="5">
        <v>46753</v>
      </c>
      <c r="M2" s="5" t="s">
        <v>17</v>
      </c>
      <c r="N2" s="7">
        <v>36892</v>
      </c>
      <c r="O2" s="7">
        <v>39083</v>
      </c>
      <c r="P2" s="7">
        <v>41640</v>
      </c>
      <c r="Q2" s="7">
        <v>44197</v>
      </c>
      <c r="R2" s="7">
        <v>46753</v>
      </c>
      <c r="S2" s="13">
        <v>36892</v>
      </c>
      <c r="T2" s="13">
        <v>39083</v>
      </c>
      <c r="U2" s="13">
        <v>41640</v>
      </c>
      <c r="V2" s="13">
        <v>44197</v>
      </c>
      <c r="W2" s="13">
        <v>46753</v>
      </c>
      <c r="X2" s="13" t="s">
        <v>22</v>
      </c>
      <c r="Y2" s="11" t="s">
        <v>8</v>
      </c>
    </row>
    <row r="3" spans="1:26" x14ac:dyDescent="0.25">
      <c r="A3" t="s">
        <v>10</v>
      </c>
      <c r="B3" s="1">
        <v>89</v>
      </c>
      <c r="C3" s="14">
        <v>43</v>
      </c>
      <c r="D3" s="14">
        <v>34</v>
      </c>
      <c r="E3" s="14">
        <v>78</v>
      </c>
      <c r="F3" s="14">
        <v>34</v>
      </c>
      <c r="G3" s="14">
        <v>56</v>
      </c>
      <c r="H3" s="4">
        <f>IF(C3&gt;40,C3-40,0)</f>
        <v>3</v>
      </c>
      <c r="I3" s="4">
        <v>4</v>
      </c>
      <c r="J3" s="4">
        <v>3</v>
      </c>
      <c r="K3" s="4">
        <v>4</v>
      </c>
      <c r="L3" s="4">
        <v>7</v>
      </c>
      <c r="M3" s="4">
        <f>SUM(H3:L3)</f>
        <v>21</v>
      </c>
      <c r="N3" s="8">
        <f t="shared" ref="N3:N10" si="0">B3*C3</f>
        <v>3827</v>
      </c>
      <c r="O3" s="8">
        <f t="shared" ref="O3:O10" si="1">B3*D3</f>
        <v>3026</v>
      </c>
      <c r="P3" s="8">
        <f>B3*E3</f>
        <v>6942</v>
      </c>
      <c r="Q3" s="8">
        <f>B3*F3</f>
        <v>3026</v>
      </c>
      <c r="R3" s="8">
        <f>B3*G3</f>
        <v>4984</v>
      </c>
      <c r="S3" s="10">
        <f t="shared" ref="S3:S10" si="2">0.5*B3*H3</f>
        <v>133.5</v>
      </c>
      <c r="T3" s="10">
        <f>0.5*B3*I3</f>
        <v>178</v>
      </c>
      <c r="U3" s="10">
        <f>B3*J3*0.5</f>
        <v>133.5</v>
      </c>
      <c r="V3" s="10">
        <f t="shared" ref="V3:V9" si="3">0.5*B3*K3</f>
        <v>178</v>
      </c>
      <c r="W3" s="10">
        <f t="shared" ref="W3:W10" si="4">0.5*B3*L3</f>
        <v>311.5</v>
      </c>
      <c r="X3" s="10">
        <f>SUM(S3:W3)</f>
        <v>934.5</v>
      </c>
      <c r="Y3" s="12">
        <f t="shared" ref="Y3:Y9" si="5">N3+O3+P3+Q3+R3+S3+T3+U3+V3+W3</f>
        <v>22739.5</v>
      </c>
    </row>
    <row r="4" spans="1:26" x14ac:dyDescent="0.25">
      <c r="A4" t="s">
        <v>11</v>
      </c>
      <c r="B4" s="1">
        <v>78</v>
      </c>
      <c r="C4" s="14">
        <v>54</v>
      </c>
      <c r="D4" s="14">
        <v>56</v>
      </c>
      <c r="E4" s="14">
        <v>65</v>
      </c>
      <c r="F4" s="14">
        <v>54</v>
      </c>
      <c r="G4" s="14">
        <v>54</v>
      </c>
      <c r="H4" s="4">
        <f t="shared" ref="H4:H10" si="6">IF(C4&gt;40,C4-40,0)</f>
        <v>14</v>
      </c>
      <c r="I4" s="4">
        <v>4</v>
      </c>
      <c r="J4" s="4">
        <v>5</v>
      </c>
      <c r="K4" s="4">
        <v>5</v>
      </c>
      <c r="L4" s="4">
        <v>9</v>
      </c>
      <c r="M4" s="4">
        <f t="shared" ref="M4:M10" si="7">SUM(H4:L4)</f>
        <v>37</v>
      </c>
      <c r="N4" s="8">
        <f t="shared" si="0"/>
        <v>4212</v>
      </c>
      <c r="O4" s="8">
        <f t="shared" si="1"/>
        <v>4368</v>
      </c>
      <c r="P4" s="8">
        <f t="shared" ref="P4:P10" si="8">B4*E4</f>
        <v>5070</v>
      </c>
      <c r="Q4" s="8">
        <f t="shared" ref="Q4:Q10" si="9">B4*F4</f>
        <v>4212</v>
      </c>
      <c r="R4" s="8">
        <f t="shared" ref="R4:R9" si="10">B4*G4</f>
        <v>4212</v>
      </c>
      <c r="S4" s="10">
        <f t="shared" si="2"/>
        <v>546</v>
      </c>
      <c r="T4" s="10">
        <f>0.5*B4*I4</f>
        <v>156</v>
      </c>
      <c r="U4" s="10">
        <f>B4*J4*0.5</f>
        <v>195</v>
      </c>
      <c r="V4" s="10">
        <f t="shared" si="3"/>
        <v>195</v>
      </c>
      <c r="W4" s="10">
        <f t="shared" si="4"/>
        <v>351</v>
      </c>
      <c r="X4" s="10">
        <f t="shared" ref="X4:X10" si="11">SUM(S4:W4)</f>
        <v>1443</v>
      </c>
      <c r="Y4" s="12">
        <f t="shared" si="5"/>
        <v>23517</v>
      </c>
    </row>
    <row r="5" spans="1:26" x14ac:dyDescent="0.25">
      <c r="A5" t="s">
        <v>12</v>
      </c>
      <c r="B5" s="1">
        <v>56</v>
      </c>
      <c r="C5" s="14">
        <v>43</v>
      </c>
      <c r="D5" s="14">
        <v>43</v>
      </c>
      <c r="E5" s="14">
        <v>54</v>
      </c>
      <c r="F5" s="14">
        <v>43</v>
      </c>
      <c r="G5" s="14">
        <v>43</v>
      </c>
      <c r="H5" s="4">
        <f t="shared" si="6"/>
        <v>3</v>
      </c>
      <c r="I5" s="4">
        <v>5</v>
      </c>
      <c r="J5" s="4">
        <v>3</v>
      </c>
      <c r="K5" s="4">
        <v>3</v>
      </c>
      <c r="L5" s="4">
        <v>7</v>
      </c>
      <c r="M5" s="4">
        <f t="shared" si="7"/>
        <v>21</v>
      </c>
      <c r="N5" s="8">
        <f t="shared" si="0"/>
        <v>2408</v>
      </c>
      <c r="O5" s="8">
        <f t="shared" si="1"/>
        <v>2408</v>
      </c>
      <c r="P5" s="8">
        <f t="shared" si="8"/>
        <v>3024</v>
      </c>
      <c r="Q5" s="8">
        <f t="shared" si="9"/>
        <v>2408</v>
      </c>
      <c r="R5" s="8">
        <f>B5*G5</f>
        <v>2408</v>
      </c>
      <c r="S5" s="10">
        <f t="shared" si="2"/>
        <v>84</v>
      </c>
      <c r="T5" s="10">
        <f t="shared" ref="T5:T10" si="12">0.5*B5*I5</f>
        <v>140</v>
      </c>
      <c r="U5" s="10">
        <f t="shared" ref="U5:U10" si="13">B5*J5*0.5</f>
        <v>84</v>
      </c>
      <c r="V5" s="10">
        <f t="shared" si="3"/>
        <v>84</v>
      </c>
      <c r="W5" s="10">
        <f t="shared" si="4"/>
        <v>196</v>
      </c>
      <c r="X5" s="10">
        <f t="shared" si="11"/>
        <v>588</v>
      </c>
      <c r="Y5" s="12">
        <f t="shared" si="5"/>
        <v>13244</v>
      </c>
    </row>
    <row r="6" spans="1:26" x14ac:dyDescent="0.25">
      <c r="A6" t="s">
        <v>13</v>
      </c>
      <c r="B6" s="1">
        <v>85</v>
      </c>
      <c r="C6" s="14">
        <v>32</v>
      </c>
      <c r="D6" s="14">
        <v>56</v>
      </c>
      <c r="E6" s="14">
        <v>65</v>
      </c>
      <c r="F6" s="14">
        <v>66</v>
      </c>
      <c r="G6" s="14">
        <v>56</v>
      </c>
      <c r="H6" s="4">
        <f>IF(C6&gt;40,C6-40,0)</f>
        <v>0</v>
      </c>
      <c r="I6" s="4">
        <v>6</v>
      </c>
      <c r="J6" s="4">
        <v>2</v>
      </c>
      <c r="K6" s="4">
        <v>4</v>
      </c>
      <c r="L6" s="4">
        <v>8</v>
      </c>
      <c r="M6" s="4">
        <f t="shared" si="7"/>
        <v>20</v>
      </c>
      <c r="N6" s="8">
        <f t="shared" si="0"/>
        <v>2720</v>
      </c>
      <c r="O6" s="8">
        <f t="shared" si="1"/>
        <v>4760</v>
      </c>
      <c r="P6" s="8">
        <f t="shared" si="8"/>
        <v>5525</v>
      </c>
      <c r="Q6" s="8">
        <f t="shared" si="9"/>
        <v>5610</v>
      </c>
      <c r="R6" s="8">
        <f>B6*G6</f>
        <v>4760</v>
      </c>
      <c r="S6" s="10">
        <f t="shared" si="2"/>
        <v>0</v>
      </c>
      <c r="T6" s="10">
        <f t="shared" si="12"/>
        <v>255</v>
      </c>
      <c r="U6" s="10">
        <f t="shared" si="13"/>
        <v>85</v>
      </c>
      <c r="V6" s="10">
        <f t="shared" si="3"/>
        <v>170</v>
      </c>
      <c r="W6" s="10">
        <f t="shared" si="4"/>
        <v>340</v>
      </c>
      <c r="X6" s="10">
        <f t="shared" si="11"/>
        <v>850</v>
      </c>
      <c r="Y6" s="12">
        <f t="shared" si="5"/>
        <v>24225</v>
      </c>
    </row>
    <row r="7" spans="1:26" x14ac:dyDescent="0.25">
      <c r="A7" t="s">
        <v>2</v>
      </c>
      <c r="B7" s="1">
        <v>86</v>
      </c>
      <c r="C7" s="14">
        <v>54</v>
      </c>
      <c r="D7" s="14">
        <v>67</v>
      </c>
      <c r="E7" s="14">
        <v>67</v>
      </c>
      <c r="F7" s="14">
        <v>44</v>
      </c>
      <c r="G7" s="14">
        <v>43</v>
      </c>
      <c r="H7" s="4">
        <f t="shared" si="6"/>
        <v>14</v>
      </c>
      <c r="I7" s="4">
        <v>7</v>
      </c>
      <c r="J7" s="4">
        <v>4</v>
      </c>
      <c r="K7" s="4">
        <v>8</v>
      </c>
      <c r="L7" s="4">
        <v>5</v>
      </c>
      <c r="M7" s="4">
        <f t="shared" si="7"/>
        <v>38</v>
      </c>
      <c r="N7" s="8">
        <f t="shared" si="0"/>
        <v>4644</v>
      </c>
      <c r="O7" s="8">
        <f t="shared" si="1"/>
        <v>5762</v>
      </c>
      <c r="P7" s="8">
        <f t="shared" si="8"/>
        <v>5762</v>
      </c>
      <c r="Q7" s="8">
        <f t="shared" si="9"/>
        <v>3784</v>
      </c>
      <c r="R7" s="8">
        <f>B7*G7</f>
        <v>3698</v>
      </c>
      <c r="S7" s="10">
        <f t="shared" si="2"/>
        <v>602</v>
      </c>
      <c r="T7" s="10">
        <f t="shared" si="12"/>
        <v>301</v>
      </c>
      <c r="U7" s="10">
        <f t="shared" si="13"/>
        <v>172</v>
      </c>
      <c r="V7" s="10">
        <f t="shared" si="3"/>
        <v>344</v>
      </c>
      <c r="W7" s="10">
        <f t="shared" si="4"/>
        <v>215</v>
      </c>
      <c r="X7" s="10">
        <f t="shared" si="11"/>
        <v>1634</v>
      </c>
      <c r="Y7" s="12">
        <f t="shared" si="5"/>
        <v>25284</v>
      </c>
    </row>
    <row r="8" spans="1:26" x14ac:dyDescent="0.25">
      <c r="A8" t="s">
        <v>14</v>
      </c>
      <c r="B8" s="1">
        <v>46</v>
      </c>
      <c r="C8" s="14">
        <v>53</v>
      </c>
      <c r="D8" s="14">
        <v>34</v>
      </c>
      <c r="E8" s="14">
        <v>54</v>
      </c>
      <c r="F8" s="14">
        <v>75</v>
      </c>
      <c r="G8" s="14">
        <v>43</v>
      </c>
      <c r="H8" s="4">
        <f t="shared" si="6"/>
        <v>13</v>
      </c>
      <c r="I8" s="4">
        <v>5</v>
      </c>
      <c r="J8" s="4">
        <v>5</v>
      </c>
      <c r="K8" s="4">
        <v>7</v>
      </c>
      <c r="L8" s="4">
        <v>4</v>
      </c>
      <c r="M8" s="4">
        <f t="shared" si="7"/>
        <v>34</v>
      </c>
      <c r="N8" s="8">
        <f t="shared" si="0"/>
        <v>2438</v>
      </c>
      <c r="O8" s="8">
        <f t="shared" si="1"/>
        <v>1564</v>
      </c>
      <c r="P8" s="8">
        <f t="shared" si="8"/>
        <v>2484</v>
      </c>
      <c r="Q8" s="8">
        <f t="shared" si="9"/>
        <v>3450</v>
      </c>
      <c r="R8" s="8">
        <f>B8*G8</f>
        <v>1978</v>
      </c>
      <c r="S8" s="10">
        <f t="shared" si="2"/>
        <v>299</v>
      </c>
      <c r="T8" s="10">
        <f t="shared" si="12"/>
        <v>115</v>
      </c>
      <c r="U8" s="10">
        <f t="shared" si="13"/>
        <v>115</v>
      </c>
      <c r="V8" s="10">
        <f t="shared" si="3"/>
        <v>161</v>
      </c>
      <c r="W8" s="10">
        <f t="shared" si="4"/>
        <v>92</v>
      </c>
      <c r="X8" s="10">
        <f t="shared" si="11"/>
        <v>782</v>
      </c>
      <c r="Y8" s="12">
        <f t="shared" si="5"/>
        <v>12696</v>
      </c>
    </row>
    <row r="9" spans="1:26" x14ac:dyDescent="0.25">
      <c r="A9" t="s">
        <v>15</v>
      </c>
      <c r="B9" s="1">
        <v>85</v>
      </c>
      <c r="C9" s="14">
        <v>42</v>
      </c>
      <c r="D9" s="14">
        <v>56</v>
      </c>
      <c r="E9" s="14">
        <v>65</v>
      </c>
      <c r="F9" s="14">
        <v>57</v>
      </c>
      <c r="G9" s="14">
        <v>64</v>
      </c>
      <c r="H9" s="4">
        <f t="shared" si="6"/>
        <v>2</v>
      </c>
      <c r="I9" s="4">
        <v>3</v>
      </c>
      <c r="J9" s="4">
        <v>6</v>
      </c>
      <c r="K9" s="4">
        <v>8</v>
      </c>
      <c r="L9" s="4">
        <v>6</v>
      </c>
      <c r="M9" s="4">
        <f t="shared" si="7"/>
        <v>25</v>
      </c>
      <c r="N9" s="8">
        <f t="shared" si="0"/>
        <v>3570</v>
      </c>
      <c r="O9" s="8">
        <f t="shared" si="1"/>
        <v>4760</v>
      </c>
      <c r="P9" s="8">
        <f t="shared" si="8"/>
        <v>5525</v>
      </c>
      <c r="Q9" s="8">
        <f t="shared" si="9"/>
        <v>4845</v>
      </c>
      <c r="R9" s="8">
        <f t="shared" si="10"/>
        <v>5440</v>
      </c>
      <c r="S9" s="10">
        <f t="shared" si="2"/>
        <v>85</v>
      </c>
      <c r="T9" s="10">
        <f t="shared" si="12"/>
        <v>127.5</v>
      </c>
      <c r="U9" s="10">
        <f t="shared" si="13"/>
        <v>255</v>
      </c>
      <c r="V9" s="10">
        <f t="shared" si="3"/>
        <v>340</v>
      </c>
      <c r="W9" s="10">
        <f t="shared" si="4"/>
        <v>255</v>
      </c>
      <c r="X9" s="10">
        <f t="shared" si="11"/>
        <v>1062.5</v>
      </c>
      <c r="Y9" s="12">
        <f t="shared" si="5"/>
        <v>25202.5</v>
      </c>
    </row>
    <row r="10" spans="1:26" x14ac:dyDescent="0.25">
      <c r="A10" t="s">
        <v>16</v>
      </c>
      <c r="B10" s="1">
        <v>54</v>
      </c>
      <c r="C10" s="14">
        <v>53</v>
      </c>
      <c r="D10" s="14">
        <v>76</v>
      </c>
      <c r="E10" s="14">
        <v>67</v>
      </c>
      <c r="F10" s="14">
        <v>76</v>
      </c>
      <c r="G10" s="14">
        <v>65</v>
      </c>
      <c r="H10" s="4">
        <f t="shared" si="6"/>
        <v>13</v>
      </c>
      <c r="I10" s="4">
        <v>3</v>
      </c>
      <c r="J10" s="4">
        <v>4</v>
      </c>
      <c r="K10" s="4">
        <v>7</v>
      </c>
      <c r="L10" s="4">
        <v>4</v>
      </c>
      <c r="M10" s="4">
        <f t="shared" si="7"/>
        <v>31</v>
      </c>
      <c r="N10" s="8">
        <f t="shared" si="0"/>
        <v>2862</v>
      </c>
      <c r="O10" s="8">
        <f t="shared" si="1"/>
        <v>4104</v>
      </c>
      <c r="P10" s="8">
        <f t="shared" si="8"/>
        <v>3618</v>
      </c>
      <c r="Q10" s="8">
        <f t="shared" si="9"/>
        <v>4104</v>
      </c>
      <c r="R10" s="8">
        <f>B10*G10</f>
        <v>3510</v>
      </c>
      <c r="S10" s="10">
        <f t="shared" si="2"/>
        <v>351</v>
      </c>
      <c r="T10" s="10">
        <f t="shared" si="12"/>
        <v>81</v>
      </c>
      <c r="U10" s="10">
        <f t="shared" si="13"/>
        <v>108</v>
      </c>
      <c r="V10" s="10">
        <f>0.5*B10*K10</f>
        <v>189</v>
      </c>
      <c r="W10" s="10">
        <f t="shared" si="4"/>
        <v>108</v>
      </c>
      <c r="X10" s="10">
        <f t="shared" si="11"/>
        <v>837</v>
      </c>
      <c r="Y10" s="12">
        <f>N10+O10+P10+Q10+R10+S10+T10+U10+V10+W10</f>
        <v>19035</v>
      </c>
    </row>
    <row r="11" spans="1:26" x14ac:dyDescent="0.25">
      <c r="Y11" s="11"/>
    </row>
    <row r="12" spans="1:26" x14ac:dyDescent="0.25">
      <c r="A12" t="s">
        <v>2</v>
      </c>
      <c r="B12" s="1">
        <f>MAX(B3:B10)</f>
        <v>89</v>
      </c>
      <c r="L12" s="1"/>
      <c r="M12" s="1"/>
      <c r="N12" s="1"/>
      <c r="O12" s="1"/>
      <c r="P12" s="1"/>
      <c r="Q12" s="1"/>
      <c r="R12" s="1"/>
      <c r="S12" s="1"/>
      <c r="T12" s="1"/>
      <c r="U12" s="1"/>
      <c r="V12" s="1"/>
      <c r="W12" s="1"/>
      <c r="X12" s="1"/>
      <c r="Y12" s="12">
        <f>MAX(Y2:Y10)</f>
        <v>25284</v>
      </c>
      <c r="Z12" s="1"/>
    </row>
    <row r="13" spans="1:26" x14ac:dyDescent="0.25">
      <c r="A13" t="s">
        <v>3</v>
      </c>
      <c r="B13" s="1">
        <f>MIN(B3:B10)</f>
        <v>46</v>
      </c>
      <c r="L13" s="1"/>
      <c r="M13" s="1"/>
      <c r="N13" s="1"/>
      <c r="O13" s="1"/>
      <c r="P13" s="1"/>
      <c r="Q13" s="1"/>
      <c r="R13" s="1"/>
      <c r="S13" s="1"/>
      <c r="T13" s="1"/>
      <c r="U13" s="1"/>
      <c r="V13" s="1"/>
      <c r="W13" s="1"/>
      <c r="X13" s="1"/>
      <c r="Y13" s="12">
        <f>MIN(Y2:Y10)</f>
        <v>12696</v>
      </c>
      <c r="Z13" s="1"/>
    </row>
    <row r="14" spans="1:26" x14ac:dyDescent="0.25">
      <c r="A14" t="s">
        <v>4</v>
      </c>
      <c r="B14" s="1">
        <f>AVERAGE(B3:B10)</f>
        <v>72.375</v>
      </c>
      <c r="L14" s="1"/>
      <c r="M14" s="1"/>
      <c r="N14" s="1"/>
      <c r="O14" s="1"/>
      <c r="P14" s="1"/>
      <c r="Q14" s="1"/>
      <c r="R14" s="1"/>
      <c r="S14" s="1"/>
      <c r="T14" s="1"/>
      <c r="U14" s="1"/>
      <c r="V14" s="1"/>
      <c r="W14" s="1"/>
      <c r="X14" s="1"/>
      <c r="Y14" s="12">
        <f>AVERAGE(Y2:Y10)</f>
        <v>20742.875</v>
      </c>
      <c r="Z14" s="1"/>
    </row>
    <row r="22" spans="21:21" x14ac:dyDescent="0.25">
      <c r="U22" s="15"/>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Sheet2</vt:lpstr>
      <vt:lpstr>Sheet5</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2023-05-13T02:59:15Z</dcterms:created>
  <dcterms:modified xsi:type="dcterms:W3CDTF">2023-05-21T15:39:39Z</dcterms:modified>
</cp:coreProperties>
</file>